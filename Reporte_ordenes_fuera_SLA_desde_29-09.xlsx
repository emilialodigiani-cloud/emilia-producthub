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Ordenes fuera de SLA" sheetId="2" state="visible" r:id="rId2"/>
  </sheets>
  <definedNames>
    <definedName name="_xlnm._FilterDatabase" localSheetId="1" hidden="1">'Ordenes fuera de SLA'!$A$1:$L$61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:mm:ss"/>
    <numFmt numFmtId="166" formatCode="dd/mm/yyyy hh:mm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E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9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Órdenes entregadas fuera del SLA de 72 hs hábiles</t>
        </is>
      </c>
    </row>
    <row r="2">
      <c r="A2" t="inlineStr">
        <is>
          <t>Órdenes creadas desde el 29/09/2026 y entregadas. Lunes a viernes, 24 hs por día hábil, sin feriados de Paraguay. Todas las órdenes del período son de Aex.</t>
        </is>
      </c>
    </row>
    <row r="4">
      <c r="A4" s="2" t="inlineStr">
        <is>
          <t>Órdenes entregadas</t>
        </is>
      </c>
      <c r="B4" t="n">
        <v>252</v>
      </c>
    </row>
    <row r="5">
      <c r="A5" s="2" t="inlineStr">
        <is>
          <t>Fuera de SLA</t>
        </is>
      </c>
      <c r="B5" t="n">
        <v>60</v>
      </c>
    </row>
    <row r="6">
      <c r="A6" s="2" t="inlineStr">
        <is>
          <t>% fuera de SLA</t>
        </is>
      </c>
      <c r="B6" s="3">
        <f>B5/B4</f>
        <v/>
      </c>
    </row>
    <row r="7">
      <c r="A7" s="2" t="inlineStr">
        <is>
          <t>Mediana total demoradas (hs háb.)</t>
        </is>
      </c>
      <c r="B7" t="n">
        <v>87.3</v>
      </c>
    </row>
    <row r="8">
      <c r="A8" s="2" t="inlineStr">
        <is>
          <t>Promedio total demoradas (hs háb.)</t>
        </is>
      </c>
      <c r="B8" t="n">
        <v>99.5</v>
      </c>
    </row>
    <row r="9">
      <c r="A9" s="2" t="inlineStr">
        <is>
          <t>Mediana total dentro de SLA (hs háb.)</t>
        </is>
      </c>
      <c r="B9" t="n">
        <v>41.7</v>
      </c>
    </row>
    <row r="11">
      <c r="A11" s="4" t="inlineStr">
        <is>
          <t>Tiempo por etapa en las órdenes demoradas (horas hábiles)</t>
        </is>
      </c>
    </row>
    <row r="12" ht="32" customHeight="1">
      <c r="A12" s="5" t="inlineStr">
        <is>
          <t>Etapa</t>
        </is>
      </c>
      <c r="B12" s="5" t="inlineStr">
        <is>
          <t>Promedio</t>
        </is>
      </c>
      <c r="C12" s="5" t="inlineStr">
        <is>
          <t>Mediana</t>
        </is>
      </c>
      <c r="D12" s="5" t="inlineStr">
        <is>
          <t>Promedio dentro de SLA</t>
        </is>
      </c>
      <c r="E12" s="5" t="inlineStr">
        <is>
          <t>Horas totales</t>
        </is>
      </c>
      <c r="F12" s="5" t="inlineStr">
        <is>
          <t>% de las horas</t>
        </is>
      </c>
    </row>
    <row r="13">
      <c r="A13" t="inlineStr">
        <is>
          <t>Pagado</t>
        </is>
      </c>
      <c r="B13" t="n">
        <v>0.6</v>
      </c>
      <c r="C13" t="n">
        <v>0</v>
      </c>
      <c r="D13" t="n">
        <v>0</v>
      </c>
      <c r="E13" t="n">
        <v>34.5</v>
      </c>
      <c r="F13" s="6">
        <f>E13/SUM($E$13:$E$16)</f>
        <v/>
      </c>
    </row>
    <row r="14">
      <c r="A14" t="inlineStr">
        <is>
          <t>Preparando</t>
        </is>
      </c>
      <c r="B14" t="n">
        <v>34.8</v>
      </c>
      <c r="C14" t="n">
        <v>29.8</v>
      </c>
      <c r="D14" t="n">
        <v>11.3</v>
      </c>
      <c r="E14" t="n">
        <v>2086.4</v>
      </c>
      <c r="F14" s="6">
        <f>E14/SUM($E$13:$E$16)</f>
        <v/>
      </c>
    </row>
    <row r="15">
      <c r="A15" t="inlineStr">
        <is>
          <t>Listo para enviar</t>
        </is>
      </c>
      <c r="B15" t="n">
        <v>23.1</v>
      </c>
      <c r="C15" t="n">
        <v>22</v>
      </c>
      <c r="D15" t="n">
        <v>10.3</v>
      </c>
      <c r="E15" t="n">
        <v>1386.9</v>
      </c>
      <c r="F15" s="6">
        <f>E15/SUM($E$13:$E$16)</f>
        <v/>
      </c>
    </row>
    <row r="16">
      <c r="A16" t="inlineStr">
        <is>
          <t>En tránsito</t>
        </is>
      </c>
      <c r="B16" t="n">
        <v>41</v>
      </c>
      <c r="C16" t="n">
        <v>30.4</v>
      </c>
      <c r="D16" t="n">
        <v>20.8</v>
      </c>
      <c r="E16" t="n">
        <v>2462.8</v>
      </c>
      <c r="F16" s="6">
        <f>E16/SUM($E$13:$E$16)</f>
        <v/>
      </c>
    </row>
    <row r="17">
      <c r="A17" s="2" t="inlineStr">
        <is>
          <t>Total</t>
        </is>
      </c>
      <c r="B17" s="2" t="n">
        <v>99.5</v>
      </c>
      <c r="C17" s="2" t="n">
        <v>87.3</v>
      </c>
      <c r="D17" s="2" t="n">
        <v>42.5</v>
      </c>
      <c r="E17" s="2">
        <f>SUM(E13:E16)</f>
        <v/>
      </c>
      <c r="F17" s="2" t="n"/>
    </row>
    <row r="19">
      <c r="A19" s="4" t="inlineStr">
        <is>
          <t>Estado previo y posterior a "Demorado"</t>
        </is>
      </c>
    </row>
    <row r="20">
      <c r="A20" t="inlineStr">
        <is>
          <t>Estado en el que la orden llega a las 72 hs hábiles y estado al que pasa después.</t>
        </is>
      </c>
    </row>
    <row r="21">
      <c r="A21" s="5" t="inlineStr">
        <is>
          <t>Estado previo</t>
        </is>
      </c>
      <c r="B21" s="5" t="inlineStr">
        <is>
          <t>Estado posterior</t>
        </is>
      </c>
      <c r="C21" s="5" t="inlineStr">
        <is>
          <t>Órdenes</t>
        </is>
      </c>
      <c r="D21" s="5" t="inlineStr">
        <is>
          <t>% de las demoradas</t>
        </is>
      </c>
    </row>
    <row r="22">
      <c r="A22" t="inlineStr">
        <is>
          <t>En tránsito</t>
        </is>
      </c>
      <c r="B22" t="inlineStr">
        <is>
          <t>Entregado</t>
        </is>
      </c>
      <c r="C22" t="n">
        <v>44</v>
      </c>
      <c r="D22" s="6">
        <f>C22/$B$5</f>
        <v/>
      </c>
    </row>
    <row r="23">
      <c r="A23" t="inlineStr">
        <is>
          <t>Listo para enviar</t>
        </is>
      </c>
      <c r="B23" t="inlineStr">
        <is>
          <t>En tránsito</t>
        </is>
      </c>
      <c r="C23" t="n">
        <v>13</v>
      </c>
      <c r="D23" s="6">
        <f>C23/$B$5</f>
        <v/>
      </c>
    </row>
    <row r="24">
      <c r="A24" t="inlineStr">
        <is>
          <t>Preparando</t>
        </is>
      </c>
      <c r="B24" t="inlineStr">
        <is>
          <t>Listo para enviar</t>
        </is>
      </c>
      <c r="C24" t="n">
        <v>3</v>
      </c>
      <c r="D24" s="6">
        <f>C24/$B$5</f>
        <v/>
      </c>
    </row>
    <row r="26">
      <c r="A26" s="4" t="inlineStr">
        <is>
          <t>Criterios</t>
        </is>
      </c>
    </row>
    <row r="27">
      <c r="A27" t="inlineStr">
        <is>
          <t>Feriado del lunes 28/09 (Batalla de Boquerón, Decreto 6601): queda antes del corte y no afecta el cálculo.</t>
        </is>
      </c>
    </row>
    <row r="28">
      <c r="A28" t="inlineStr">
        <is>
          <t>Los sábados no son hábiles, aunque Aex entregue hasta el mediodía. Si contaran, las demoradas serían 91 en vez de 60.</t>
        </is>
      </c>
    </row>
    <row r="29">
      <c r="A29" t="inlineStr">
        <is>
          <t>En las órdenes sin fecha de Pagado se usó la fecha de creación. Las órdenes sin entregar no se incluyen.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17" customWidth="1" min="4" max="4"/>
    <col width="17" customWidth="1" min="5" max="5"/>
    <col width="13" customWidth="1" min="6" max="6"/>
    <col width="14" customWidth="1" min="7" max="7"/>
    <col width="16" customWidth="1" min="8" max="8"/>
    <col width="14" customWidth="1" min="9" max="9"/>
    <col width="13" customWidth="1" min="10" max="10"/>
    <col width="20" customWidth="1" min="11" max="11"/>
    <col width="18" customWidth="1" min="12" max="12"/>
  </cols>
  <sheetData>
    <row r="1" ht="32" customHeight="1">
      <c r="A1" s="5" t="inlineStr">
        <is>
          <t>Nro Pedido</t>
        </is>
      </c>
      <c r="B1" s="5" t="inlineStr">
        <is>
          <t>Seller</t>
        </is>
      </c>
      <c r="C1" s="5" t="inlineStr">
        <is>
          <t>Courier</t>
        </is>
      </c>
      <c r="D1" s="5" t="inlineStr">
        <is>
          <t>Fecha creación</t>
        </is>
      </c>
      <c r="E1" s="5" t="inlineStr">
        <is>
          <t>Fecha entrega</t>
        </is>
      </c>
      <c r="F1" s="5" t="inlineStr">
        <is>
          <t>Pagado (hs háb.)</t>
        </is>
      </c>
      <c r="G1" s="5" t="inlineStr">
        <is>
          <t>Preparando (hs háb.)</t>
        </is>
      </c>
      <c r="H1" s="5" t="inlineStr">
        <is>
          <t>Listo para enviar (hs háb.)</t>
        </is>
      </c>
      <c r="I1" s="5" t="inlineStr">
        <is>
          <t>En tránsito (hs háb.)</t>
        </is>
      </c>
      <c r="J1" s="5" t="inlineStr">
        <is>
          <t>Total (hs háb.)</t>
        </is>
      </c>
      <c r="K1" s="5" t="inlineStr">
        <is>
          <t>Cruza las 72 hs en</t>
        </is>
      </c>
      <c r="L1" s="5" t="inlineStr">
        <is>
          <t>Estado siguiente</t>
        </is>
      </c>
    </row>
    <row r="2">
      <c r="A2" t="inlineStr">
        <is>
          <t>PROD-3000247559</t>
        </is>
      </c>
      <c r="B2" t="inlineStr">
        <is>
          <t>Ritmo y Armonía</t>
        </is>
      </c>
      <c r="C2" t="inlineStr">
        <is>
          <t>Aex</t>
        </is>
      </c>
      <c r="D2" s="7" t="n">
        <v>46297.59142217592</v>
      </c>
      <c r="E2" s="7" t="n">
        <v>46311.59339195602</v>
      </c>
      <c r="F2" s="8" t="n">
        <v>0</v>
      </c>
      <c r="G2" s="8" t="n">
        <v>0.05</v>
      </c>
      <c r="H2" s="8" t="n">
        <v>9.76</v>
      </c>
      <c r="I2" s="8" t="n">
        <v>230.24</v>
      </c>
      <c r="J2" s="8">
        <f>SUM(F2:I2)</f>
        <v/>
      </c>
      <c r="K2" t="inlineStr">
        <is>
          <t>En tránsito</t>
        </is>
      </c>
      <c r="L2" t="inlineStr">
        <is>
          <t>Entregado</t>
        </is>
      </c>
    </row>
    <row r="3">
      <c r="A3" t="inlineStr">
        <is>
          <t>PROD-3000248693</t>
        </is>
      </c>
      <c r="B3" t="inlineStr">
        <is>
          <t>FACIL HOGAR</t>
        </is>
      </c>
      <c r="C3" t="inlineStr">
        <is>
          <t>Aex</t>
        </is>
      </c>
      <c r="D3" s="7" t="n">
        <v>46302.82095266203</v>
      </c>
      <c r="E3" s="7" t="n">
        <v>46314.59774458333</v>
      </c>
      <c r="F3" s="8" t="n">
        <v>18.65</v>
      </c>
      <c r="G3" s="8" t="n">
        <v>0</v>
      </c>
      <c r="H3" s="8" t="n">
        <v>141.69</v>
      </c>
      <c r="I3" s="8" t="n">
        <v>26.3</v>
      </c>
      <c r="J3" s="8">
        <f>SUM(F3:I3)</f>
        <v/>
      </c>
      <c r="K3" t="inlineStr">
        <is>
          <t>Listo para enviar</t>
        </is>
      </c>
      <c r="L3" t="inlineStr">
        <is>
          <t>En tránsito</t>
        </is>
      </c>
    </row>
    <row r="4">
      <c r="A4" t="inlineStr">
        <is>
          <t>PROD-3000248714</t>
        </is>
      </c>
      <c r="B4" t="inlineStr">
        <is>
          <t>Fitway</t>
        </is>
      </c>
      <c r="C4" t="inlineStr">
        <is>
          <t>Aex</t>
        </is>
      </c>
      <c r="D4" s="7" t="n">
        <v>46302.91217201389</v>
      </c>
      <c r="E4" s="7" t="n">
        <v>46314.5972644213</v>
      </c>
      <c r="F4" s="8" t="n">
        <v>15.83</v>
      </c>
      <c r="G4" s="8" t="n">
        <v>0.04</v>
      </c>
      <c r="H4" s="8" t="n">
        <v>142.3</v>
      </c>
      <c r="I4" s="8" t="n">
        <v>26.28</v>
      </c>
      <c r="J4" s="8">
        <f>SUM(F4:I4)</f>
        <v/>
      </c>
      <c r="K4" t="inlineStr">
        <is>
          <t>Listo para enviar</t>
        </is>
      </c>
      <c r="L4" t="inlineStr">
        <is>
          <t>En tránsito</t>
        </is>
      </c>
    </row>
    <row r="5">
      <c r="A5" t="inlineStr">
        <is>
          <t>PROD-3000247506</t>
        </is>
      </c>
      <c r="B5" t="inlineStr">
        <is>
          <t>COMPUMARKET</t>
        </is>
      </c>
      <c r="C5" t="inlineStr">
        <is>
          <t>Aex</t>
        </is>
      </c>
      <c r="D5" s="7" t="n">
        <v>46297.50791188658</v>
      </c>
      <c r="E5" s="7" t="n">
        <v>46307.70763888889</v>
      </c>
      <c r="F5" s="8" t="n">
        <v>0</v>
      </c>
      <c r="G5" s="8" t="n">
        <v>100.72</v>
      </c>
      <c r="H5" s="8" t="n">
        <v>22.05</v>
      </c>
      <c r="I5" s="8" t="n">
        <v>26.02</v>
      </c>
      <c r="J5" s="8">
        <f>SUM(F5:I5)</f>
        <v/>
      </c>
      <c r="K5" t="inlineStr">
        <is>
          <t>Preparando</t>
        </is>
      </c>
      <c r="L5" t="inlineStr">
        <is>
          <t>Listo para enviar</t>
        </is>
      </c>
    </row>
    <row r="6">
      <c r="A6" t="inlineStr">
        <is>
          <t>PROD-3000248201</t>
        </is>
      </c>
      <c r="B6" t="inlineStr">
        <is>
          <t>Mercado Digital</t>
        </is>
      </c>
      <c r="C6" t="inlineStr">
        <is>
          <t>Aex</t>
        </is>
      </c>
      <c r="D6" s="7" t="n">
        <v>46300.55482724537</v>
      </c>
      <c r="E6" s="7" t="n">
        <v>46308.46597222222</v>
      </c>
      <c r="F6" s="8" t="n">
        <v>0</v>
      </c>
      <c r="G6" s="8" t="n">
        <v>21.14</v>
      </c>
      <c r="H6" s="8" t="n">
        <v>77.23999999999999</v>
      </c>
      <c r="I6" s="8" t="n">
        <v>43.48</v>
      </c>
      <c r="J6" s="8">
        <f>SUM(F6:I6)</f>
        <v/>
      </c>
      <c r="K6" t="inlineStr">
        <is>
          <t>Listo para enviar</t>
        </is>
      </c>
      <c r="L6" t="inlineStr">
        <is>
          <t>En tránsito</t>
        </is>
      </c>
    </row>
    <row r="7">
      <c r="A7" t="inlineStr">
        <is>
          <t>PROD-3000246376</t>
        </is>
      </c>
      <c r="B7" t="inlineStr">
        <is>
          <t>Chacomer</t>
        </is>
      </c>
      <c r="C7" t="inlineStr">
        <is>
          <t>Aex</t>
        </is>
      </c>
      <c r="D7" s="7" t="n">
        <v>46295.94635997685</v>
      </c>
      <c r="E7" s="7" t="n">
        <v>46303.50208333333</v>
      </c>
      <c r="F7" s="8" t="n">
        <v>0</v>
      </c>
      <c r="G7" s="8" t="n">
        <v>60.51</v>
      </c>
      <c r="H7" s="8" t="n">
        <v>28.95</v>
      </c>
      <c r="I7" s="8" t="n">
        <v>43.88</v>
      </c>
      <c r="J7" s="8">
        <f>SUM(F7:I7)</f>
        <v/>
      </c>
      <c r="K7" t="inlineStr">
        <is>
          <t>Listo para enviar</t>
        </is>
      </c>
      <c r="L7" t="inlineStr">
        <is>
          <t>En tránsito</t>
        </is>
      </c>
    </row>
    <row r="8">
      <c r="A8" t="inlineStr">
        <is>
          <t>PROD-3000248153</t>
        </is>
      </c>
      <c r="B8" t="inlineStr">
        <is>
          <t>COMPUMARKET</t>
        </is>
      </c>
      <c r="C8" t="inlineStr">
        <is>
          <t>Aex</t>
        </is>
      </c>
      <c r="D8" s="7" t="n">
        <v>46300.42066928241</v>
      </c>
      <c r="E8" s="7" t="n">
        <v>46307.76180555556</v>
      </c>
      <c r="F8" s="8" t="n">
        <v>0</v>
      </c>
      <c r="G8" s="8" t="n">
        <v>78.83</v>
      </c>
      <c r="H8" s="8" t="n">
        <v>22.04</v>
      </c>
      <c r="I8" s="8" t="n">
        <v>27.32</v>
      </c>
      <c r="J8" s="8">
        <f>SUM(F8:I8)</f>
        <v/>
      </c>
      <c r="K8" t="inlineStr">
        <is>
          <t>Preparando</t>
        </is>
      </c>
      <c r="L8" t="inlineStr">
        <is>
          <t>Listo para enviar</t>
        </is>
      </c>
    </row>
    <row r="9">
      <c r="A9" t="inlineStr">
        <is>
          <t>PROD-3000247525</t>
        </is>
      </c>
      <c r="B9" t="inlineStr">
        <is>
          <t>Ambiental</t>
        </is>
      </c>
      <c r="C9" t="inlineStr">
        <is>
          <t>Aex</t>
        </is>
      </c>
      <c r="D9" s="7" t="n">
        <v>46297.53469042824</v>
      </c>
      <c r="E9" s="7" t="n">
        <v>46304.68125</v>
      </c>
      <c r="F9" s="8" t="n">
        <v>0</v>
      </c>
      <c r="G9" s="8" t="n">
        <v>74.52</v>
      </c>
      <c r="H9" s="8" t="n">
        <v>19.6</v>
      </c>
      <c r="I9" s="8" t="n">
        <v>29.4</v>
      </c>
      <c r="J9" s="8">
        <f>SUM(F9:I9)</f>
        <v/>
      </c>
      <c r="K9" t="inlineStr">
        <is>
          <t>Preparando</t>
        </is>
      </c>
      <c r="L9" t="inlineStr">
        <is>
          <t>Listo para enviar</t>
        </is>
      </c>
    </row>
    <row r="10">
      <c r="A10" t="inlineStr">
        <is>
          <t>PROD-3000249888</t>
        </is>
      </c>
      <c r="B10" t="inlineStr">
        <is>
          <t>COMPUMARKET</t>
        </is>
      </c>
      <c r="C10" t="inlineStr">
        <is>
          <t>Aex</t>
        </is>
      </c>
      <c r="D10" s="7" t="n">
        <v>46304.47582546296</v>
      </c>
      <c r="E10" s="7" t="n">
        <v>46311.47638888889</v>
      </c>
      <c r="F10" s="8" t="n">
        <v>0</v>
      </c>
      <c r="G10" s="8" t="n">
        <v>30.38</v>
      </c>
      <c r="H10" s="8" t="n">
        <v>46.22</v>
      </c>
      <c r="I10" s="8" t="n">
        <v>43.42</v>
      </c>
      <c r="J10" s="8">
        <f>SUM(F10:I10)</f>
        <v/>
      </c>
      <c r="K10" t="inlineStr">
        <is>
          <t>Listo para enviar</t>
        </is>
      </c>
      <c r="L10" t="inlineStr">
        <is>
          <t>En tránsito</t>
        </is>
      </c>
    </row>
    <row r="11">
      <c r="A11" t="inlineStr">
        <is>
          <t>PROD-3000251025</t>
        </is>
      </c>
      <c r="B11" t="inlineStr">
        <is>
          <t>Tienda Diggit</t>
        </is>
      </c>
      <c r="C11" t="inlineStr">
        <is>
          <t>Aex</t>
        </is>
      </c>
      <c r="D11" s="7" t="n">
        <v>46306.73027434028</v>
      </c>
      <c r="E11" s="7" t="n">
        <v>46312.53263888889</v>
      </c>
      <c r="F11" s="8" t="n">
        <v>0</v>
      </c>
      <c r="G11" s="8" t="n">
        <v>11.36</v>
      </c>
      <c r="H11" s="8" t="n">
        <v>24.45</v>
      </c>
      <c r="I11" s="8" t="n">
        <v>84.18000000000001</v>
      </c>
      <c r="J11" s="8">
        <f>SUM(F11:I11)</f>
        <v/>
      </c>
      <c r="K11" t="inlineStr">
        <is>
          <t>En tránsito</t>
        </is>
      </c>
      <c r="L11" t="inlineStr">
        <is>
          <t>Entregado</t>
        </is>
      </c>
    </row>
    <row r="12">
      <c r="A12" t="inlineStr">
        <is>
          <t>PROD-3000249413</t>
        </is>
      </c>
      <c r="B12" t="inlineStr">
        <is>
          <t>INDIO</t>
        </is>
      </c>
      <c r="C12" t="inlineStr">
        <is>
          <t>Aex</t>
        </is>
      </c>
      <c r="D12" s="7" t="n">
        <v>46303.80479627315</v>
      </c>
      <c r="E12" s="7" t="n">
        <v>46310.74236111111</v>
      </c>
      <c r="F12" s="8" t="n">
        <v>0</v>
      </c>
      <c r="G12" s="8" t="n">
        <v>69.06</v>
      </c>
      <c r="H12" s="8" t="n">
        <v>24.26</v>
      </c>
      <c r="I12" s="8" t="n">
        <v>25.18</v>
      </c>
      <c r="J12" s="8">
        <f>SUM(F12:I12)</f>
        <v/>
      </c>
      <c r="K12" t="inlineStr">
        <is>
          <t>Listo para enviar</t>
        </is>
      </c>
      <c r="L12" t="inlineStr">
        <is>
          <t>En tránsito</t>
        </is>
      </c>
    </row>
    <row r="13">
      <c r="A13" t="inlineStr">
        <is>
          <t>PROD-3000251233</t>
        </is>
      </c>
      <c r="B13" t="inlineStr">
        <is>
          <t>Sport center</t>
        </is>
      </c>
      <c r="C13" t="inlineStr">
        <is>
          <t>Aex</t>
        </is>
      </c>
      <c r="D13" s="7" t="n">
        <v>46307.36163212963</v>
      </c>
      <c r="E13" s="7" t="n">
        <v>46314.28055555555</v>
      </c>
      <c r="F13" s="8" t="n">
        <v>0</v>
      </c>
      <c r="G13" s="8" t="n">
        <v>0.91</v>
      </c>
      <c r="H13" s="8" t="n">
        <v>2.16</v>
      </c>
      <c r="I13" s="8" t="n">
        <v>114.98</v>
      </c>
      <c r="J13" s="8">
        <f>SUM(F13:I13)</f>
        <v/>
      </c>
      <c r="K13" t="inlineStr">
        <is>
          <t>En tránsito</t>
        </is>
      </c>
      <c r="L13" t="inlineStr">
        <is>
          <t>Entregado</t>
        </is>
      </c>
    </row>
    <row r="14">
      <c r="A14" t="inlineStr">
        <is>
          <t>PROD-3000246372</t>
        </is>
      </c>
      <c r="B14" t="inlineStr">
        <is>
          <t>Chacomer</t>
        </is>
      </c>
      <c r="C14" t="inlineStr">
        <is>
          <t>Aex</t>
        </is>
      </c>
      <c r="D14" s="7" t="n">
        <v>46295.94484888889</v>
      </c>
      <c r="E14" s="7" t="n">
        <v>46302.63958333333</v>
      </c>
      <c r="F14" s="8" t="n">
        <v>0</v>
      </c>
      <c r="G14" s="8" t="n">
        <v>60.54</v>
      </c>
      <c r="H14" s="8" t="n">
        <v>28.97</v>
      </c>
      <c r="I14" s="8" t="n">
        <v>23.17</v>
      </c>
      <c r="J14" s="8">
        <f>SUM(F14:I14)</f>
        <v/>
      </c>
      <c r="K14" t="inlineStr">
        <is>
          <t>Listo para enviar</t>
        </is>
      </c>
      <c r="L14" t="inlineStr">
        <is>
          <t>En tránsito</t>
        </is>
      </c>
    </row>
    <row r="15">
      <c r="A15" t="inlineStr">
        <is>
          <t>PROD-3000251026</t>
        </is>
      </c>
      <c r="B15" t="inlineStr">
        <is>
          <t>COMPUMARKET</t>
        </is>
      </c>
      <c r="C15" t="inlineStr">
        <is>
          <t>Aex</t>
        </is>
      </c>
      <c r="D15" s="7" t="n">
        <v>46306.73226631944</v>
      </c>
      <c r="E15" s="7" t="n">
        <v>46311.64583333334</v>
      </c>
      <c r="F15" s="8" t="n">
        <v>0</v>
      </c>
      <c r="G15" s="8" t="n">
        <v>65.15000000000001</v>
      </c>
      <c r="H15" s="8" t="n">
        <v>22.95</v>
      </c>
      <c r="I15" s="8" t="n">
        <v>23.4</v>
      </c>
      <c r="J15" s="8">
        <f>SUM(F15:I15)</f>
        <v/>
      </c>
      <c r="K15" t="inlineStr">
        <is>
          <t>Listo para enviar</t>
        </is>
      </c>
      <c r="L15" t="inlineStr">
        <is>
          <t>En tránsito</t>
        </is>
      </c>
    </row>
    <row r="16">
      <c r="A16" t="inlineStr">
        <is>
          <t>PROD-3000248654</t>
        </is>
      </c>
      <c r="B16" t="inlineStr">
        <is>
          <t>COMPUMARKET</t>
        </is>
      </c>
      <c r="C16" t="inlineStr">
        <is>
          <t>Aex</t>
        </is>
      </c>
      <c r="D16" s="7" t="n">
        <v>46302.71519871528</v>
      </c>
      <c r="E16" s="7" t="n">
        <v>46309.3125</v>
      </c>
      <c r="F16" s="8" t="n">
        <v>0</v>
      </c>
      <c r="G16" s="8" t="n">
        <v>41.51</v>
      </c>
      <c r="H16" s="8" t="n">
        <v>4.33</v>
      </c>
      <c r="I16" s="8" t="n">
        <v>64.5</v>
      </c>
      <c r="J16" s="8">
        <f>SUM(F16:I16)</f>
        <v/>
      </c>
      <c r="K16" t="inlineStr">
        <is>
          <t>En tránsito</t>
        </is>
      </c>
      <c r="L16" t="inlineStr">
        <is>
          <t>Entregado</t>
        </is>
      </c>
    </row>
    <row r="17">
      <c r="A17" t="inlineStr">
        <is>
          <t>PROD-3000251181</t>
        </is>
      </c>
      <c r="B17" t="inlineStr">
        <is>
          <t>Mercado Digital</t>
        </is>
      </c>
      <c r="C17" t="inlineStr">
        <is>
          <t>Aex</t>
        </is>
      </c>
      <c r="D17" s="7" t="n">
        <v>46306.9969547338</v>
      </c>
      <c r="E17" s="7" t="n">
        <v>46311.47638888889</v>
      </c>
      <c r="F17" s="8" t="n">
        <v>0</v>
      </c>
      <c r="G17" s="8" t="n">
        <v>59.41</v>
      </c>
      <c r="H17" s="8" t="n">
        <v>1.91</v>
      </c>
      <c r="I17" s="8" t="n">
        <v>46.12</v>
      </c>
      <c r="J17" s="8">
        <f>SUM(F17:I17)</f>
        <v/>
      </c>
      <c r="K17" t="inlineStr">
        <is>
          <t>En tránsito</t>
        </is>
      </c>
      <c r="L17" t="inlineStr">
        <is>
          <t>Entregado</t>
        </is>
      </c>
    </row>
    <row r="18">
      <c r="A18" t="inlineStr">
        <is>
          <t>PROD-3000247903</t>
        </is>
      </c>
      <c r="B18" t="inlineStr">
        <is>
          <t>Sallustro</t>
        </is>
      </c>
      <c r="C18" t="inlineStr">
        <is>
          <t>Aex</t>
        </is>
      </c>
      <c r="D18" s="7" t="n">
        <v>46298.74728465277</v>
      </c>
      <c r="E18" s="7" t="n">
        <v>46304.45416666667</v>
      </c>
      <c r="F18" s="8" t="n">
        <v>0</v>
      </c>
      <c r="G18" s="8" t="n">
        <v>15.08</v>
      </c>
      <c r="H18" s="8" t="n">
        <v>23.09</v>
      </c>
      <c r="I18" s="8" t="n">
        <v>68.73</v>
      </c>
      <c r="J18" s="8">
        <f>SUM(F18:I18)</f>
        <v/>
      </c>
      <c r="K18" t="inlineStr">
        <is>
          <t>En tránsito</t>
        </is>
      </c>
      <c r="L18" t="inlineStr">
        <is>
          <t>Entregado</t>
        </is>
      </c>
    </row>
    <row r="19">
      <c r="A19" t="inlineStr">
        <is>
          <t>PROD-3000248273</t>
        </is>
      </c>
      <c r="B19" t="inlineStr">
        <is>
          <t>Tienda Hesed</t>
        </is>
      </c>
      <c r="C19" t="inlineStr">
        <is>
          <t>Aex</t>
        </is>
      </c>
      <c r="D19" s="7" t="n">
        <v>46300.86434953703</v>
      </c>
      <c r="E19" s="7" t="n">
        <v>46307.27291666667</v>
      </c>
      <c r="F19" s="8" t="n">
        <v>0</v>
      </c>
      <c r="G19" s="8" t="n">
        <v>20.66</v>
      </c>
      <c r="H19" s="8" t="n">
        <v>22.23</v>
      </c>
      <c r="I19" s="8" t="n">
        <v>62.92</v>
      </c>
      <c r="J19" s="8">
        <f>SUM(F19:I19)</f>
        <v/>
      </c>
      <c r="K19" t="inlineStr">
        <is>
          <t>En tránsito</t>
        </is>
      </c>
      <c r="L19" t="inlineStr">
        <is>
          <t>Entregado</t>
        </is>
      </c>
    </row>
    <row r="20">
      <c r="A20" t="inlineStr">
        <is>
          <t>PROD-3000248902</t>
        </is>
      </c>
      <c r="B20" t="inlineStr">
        <is>
          <t>Visuar</t>
        </is>
      </c>
      <c r="C20" t="inlineStr">
        <is>
          <t>Aex</t>
        </is>
      </c>
      <c r="D20" s="7" t="n">
        <v>46303.41357118056</v>
      </c>
      <c r="E20" s="7" t="n">
        <v>46309.70347222222</v>
      </c>
      <c r="F20" s="8" t="n">
        <v>0</v>
      </c>
      <c r="G20" s="8" t="n">
        <v>29.86</v>
      </c>
      <c r="H20" s="8" t="n">
        <v>23.07</v>
      </c>
      <c r="I20" s="8" t="n">
        <v>50.03</v>
      </c>
      <c r="J20" s="8">
        <f>SUM(F20:I20)</f>
        <v/>
      </c>
      <c r="K20" t="inlineStr">
        <is>
          <t>En tránsito</t>
        </is>
      </c>
      <c r="L20" t="inlineStr">
        <is>
          <t>Entregado</t>
        </is>
      </c>
    </row>
    <row r="21">
      <c r="A21" t="inlineStr">
        <is>
          <t>PROD-3000248580</t>
        </is>
      </c>
      <c r="B21" t="inlineStr">
        <is>
          <t>Chacomer</t>
        </is>
      </c>
      <c r="C21" t="inlineStr">
        <is>
          <t>Aex</t>
        </is>
      </c>
      <c r="D21" s="7" t="n">
        <v>46302.42482212963</v>
      </c>
      <c r="E21" s="7" t="n">
        <v>46308.70972222222</v>
      </c>
      <c r="F21" s="8" t="n">
        <v>0</v>
      </c>
      <c r="G21" s="8" t="n">
        <v>46.31</v>
      </c>
      <c r="H21" s="8" t="n">
        <v>11.24</v>
      </c>
      <c r="I21" s="8" t="n">
        <v>45.28</v>
      </c>
      <c r="J21" s="8">
        <f>SUM(F21:I21)</f>
        <v/>
      </c>
      <c r="K21" t="inlineStr">
        <is>
          <t>En tránsito</t>
        </is>
      </c>
      <c r="L21" t="inlineStr">
        <is>
          <t>Entregado</t>
        </is>
      </c>
    </row>
    <row r="22">
      <c r="A22" t="inlineStr">
        <is>
          <t>PROD-3000246462</t>
        </is>
      </c>
      <c r="B22" t="inlineStr">
        <is>
          <t>Chacomer</t>
        </is>
      </c>
      <c r="C22" t="inlineStr">
        <is>
          <t>Aex</t>
        </is>
      </c>
      <c r="D22" s="7" t="n">
        <v>46296.38500758102</v>
      </c>
      <c r="E22" s="7" t="n">
        <v>46302.57986111111</v>
      </c>
      <c r="F22" s="8" t="n">
        <v>0</v>
      </c>
      <c r="G22" s="8" t="n">
        <v>49.99</v>
      </c>
      <c r="H22" s="8" t="n">
        <v>28.94</v>
      </c>
      <c r="I22" s="8" t="n">
        <v>21.75</v>
      </c>
      <c r="J22" s="8">
        <f>SUM(F22:I22)</f>
        <v/>
      </c>
      <c r="K22" t="inlineStr">
        <is>
          <t>Listo para enviar</t>
        </is>
      </c>
      <c r="L22" t="inlineStr">
        <is>
          <t>En tránsito</t>
        </is>
      </c>
    </row>
    <row r="23">
      <c r="A23" t="inlineStr">
        <is>
          <t>PROD-3000248177</t>
        </is>
      </c>
      <c r="B23" t="inlineStr">
        <is>
          <t>Chacomer</t>
        </is>
      </c>
      <c r="C23" t="inlineStr">
        <is>
          <t>Aex</t>
        </is>
      </c>
      <c r="D23" s="7" t="n">
        <v>46300.50289515046</v>
      </c>
      <c r="E23" s="7" t="n">
        <v>46304.68472222222</v>
      </c>
      <c r="F23" s="8" t="n">
        <v>0</v>
      </c>
      <c r="G23" s="8" t="n">
        <v>53.52</v>
      </c>
      <c r="H23" s="8" t="n">
        <v>27.38</v>
      </c>
      <c r="I23" s="8" t="n">
        <v>19.47</v>
      </c>
      <c r="J23" s="8">
        <f>SUM(F23:I23)</f>
        <v/>
      </c>
      <c r="K23" t="inlineStr">
        <is>
          <t>Listo para enviar</t>
        </is>
      </c>
      <c r="L23" t="inlineStr">
        <is>
          <t>En tránsito</t>
        </is>
      </c>
    </row>
    <row r="24">
      <c r="A24" t="inlineStr">
        <is>
          <t>PROD-3000246477</t>
        </is>
      </c>
      <c r="B24" t="inlineStr">
        <is>
          <t>COMPUMARKET</t>
        </is>
      </c>
      <c r="C24" t="inlineStr">
        <is>
          <t>Aex</t>
        </is>
      </c>
      <c r="D24" s="7" t="n">
        <v>46296.44924795139</v>
      </c>
      <c r="E24" s="7" t="n">
        <v>46302.58541666667</v>
      </c>
      <c r="F24" s="8" t="n">
        <v>0</v>
      </c>
      <c r="G24" s="8" t="n">
        <v>70.91</v>
      </c>
      <c r="H24" s="8" t="n">
        <v>6.73</v>
      </c>
      <c r="I24" s="8" t="n">
        <v>21.63</v>
      </c>
      <c r="J24" s="8">
        <f>SUM(F24:I24)</f>
        <v/>
      </c>
      <c r="K24" t="inlineStr">
        <is>
          <t>Listo para enviar</t>
        </is>
      </c>
      <c r="L24" t="inlineStr">
        <is>
          <t>En tránsito</t>
        </is>
      </c>
    </row>
    <row r="25">
      <c r="A25" t="inlineStr">
        <is>
          <t>PROD-3000246036</t>
        </is>
      </c>
      <c r="B25" t="inlineStr">
        <is>
          <t>Kyrios</t>
        </is>
      </c>
      <c r="C25" t="inlineStr">
        <is>
          <t>Aex</t>
        </is>
      </c>
      <c r="D25" s="7" t="n">
        <v>46294.6510722801</v>
      </c>
      <c r="E25" s="7" t="n">
        <v>46300.78680555556</v>
      </c>
      <c r="F25" s="8" t="n">
        <v>0</v>
      </c>
      <c r="G25" s="8" t="n">
        <v>69.76000000000001</v>
      </c>
      <c r="H25" s="8" t="n">
        <v>4.15</v>
      </c>
      <c r="I25" s="8" t="n">
        <v>25.35</v>
      </c>
      <c r="J25" s="8">
        <f>SUM(F25:I25)</f>
        <v/>
      </c>
      <c r="K25" t="inlineStr">
        <is>
          <t>Listo para enviar</t>
        </is>
      </c>
      <c r="L25" t="inlineStr">
        <is>
          <t>En tránsito</t>
        </is>
      </c>
    </row>
    <row r="26">
      <c r="A26" t="inlineStr">
        <is>
          <t>PROD-3000251377</t>
        </is>
      </c>
      <c r="B26" t="inlineStr">
        <is>
          <t>A CUOTITAS ELECTRODOMESTICOS</t>
        </is>
      </c>
      <c r="C26" t="inlineStr">
        <is>
          <t>Aex</t>
        </is>
      </c>
      <c r="D26" s="7" t="n">
        <v>46307.91241793981</v>
      </c>
      <c r="E26" s="7" t="n">
        <v>46312.51180555556</v>
      </c>
      <c r="F26" s="8" t="n">
        <v>0</v>
      </c>
      <c r="G26" s="8" t="n">
        <v>35.46</v>
      </c>
      <c r="H26" s="8" t="n">
        <v>7.88</v>
      </c>
      <c r="I26" s="8" t="n">
        <v>54.77</v>
      </c>
      <c r="J26" s="8">
        <f>SUM(F26:I26)</f>
        <v/>
      </c>
      <c r="K26" t="inlineStr">
        <is>
          <t>En tránsito</t>
        </is>
      </c>
      <c r="L26" t="inlineStr">
        <is>
          <t>Entregado</t>
        </is>
      </c>
    </row>
    <row r="27">
      <c r="A27" t="inlineStr">
        <is>
          <t>PROD-3000251276</t>
        </is>
      </c>
      <c r="B27" t="inlineStr">
        <is>
          <t>Alemania Cell</t>
        </is>
      </c>
      <c r="C27" t="inlineStr">
        <is>
          <t>Aex</t>
        </is>
      </c>
      <c r="D27" s="7" t="n">
        <v>46307.53266121528</v>
      </c>
      <c r="E27" s="7" t="n">
        <v>46311.52083333334</v>
      </c>
      <c r="F27" s="8" t="n">
        <v>0</v>
      </c>
      <c r="G27" s="8" t="n">
        <v>51.34</v>
      </c>
      <c r="H27" s="8" t="n">
        <v>23.59</v>
      </c>
      <c r="I27" s="8" t="n">
        <v>20.78</v>
      </c>
      <c r="J27" s="8">
        <f>SUM(F27:I27)</f>
        <v/>
      </c>
      <c r="K27" t="inlineStr">
        <is>
          <t>Listo para enviar</t>
        </is>
      </c>
      <c r="L27" t="inlineStr">
        <is>
          <t>En tránsito</t>
        </is>
      </c>
    </row>
    <row r="28">
      <c r="A28" t="inlineStr">
        <is>
          <t>PROD-3000247521</t>
        </is>
      </c>
      <c r="B28" t="inlineStr">
        <is>
          <t>Tienda Diggit</t>
        </is>
      </c>
      <c r="C28" t="inlineStr">
        <is>
          <t>Aex</t>
        </is>
      </c>
      <c r="D28" s="7" t="n">
        <v>46297.53256716435</v>
      </c>
      <c r="E28" s="7" t="n">
        <v>46303.33888888889</v>
      </c>
      <c r="F28" s="8" t="n">
        <v>0</v>
      </c>
      <c r="G28" s="8" t="n">
        <v>26.46</v>
      </c>
      <c r="H28" s="8" t="n">
        <v>21.55</v>
      </c>
      <c r="I28" s="8" t="n">
        <v>43.33</v>
      </c>
      <c r="J28" s="8">
        <f>SUM(F28:I28)</f>
        <v/>
      </c>
      <c r="K28" t="inlineStr">
        <is>
          <t>En tránsito</t>
        </is>
      </c>
      <c r="L28" t="inlineStr">
        <is>
          <t>Entregado</t>
        </is>
      </c>
    </row>
    <row r="29">
      <c r="A29" t="inlineStr">
        <is>
          <t>PROD-3000247725</t>
        </is>
      </c>
      <c r="B29" t="inlineStr">
        <is>
          <t>COMPUMARKET</t>
        </is>
      </c>
      <c r="C29" t="inlineStr">
        <is>
          <t>Aex</t>
        </is>
      </c>
      <c r="D29" s="7" t="n">
        <v>46297.92740386574</v>
      </c>
      <c r="E29" s="7" t="n">
        <v>46303.62569444445</v>
      </c>
      <c r="F29" s="8" t="n">
        <v>0</v>
      </c>
      <c r="G29" s="8" t="n">
        <v>58.73</v>
      </c>
      <c r="H29" s="8" t="n">
        <v>7.21</v>
      </c>
      <c r="I29" s="8" t="n">
        <v>22.82</v>
      </c>
      <c r="J29" s="8">
        <f>SUM(F29:I29)</f>
        <v/>
      </c>
      <c r="K29" t="inlineStr">
        <is>
          <t>En tránsito</t>
        </is>
      </c>
      <c r="L29" t="inlineStr">
        <is>
          <t>Entregado</t>
        </is>
      </c>
    </row>
    <row r="30">
      <c r="A30" t="inlineStr">
        <is>
          <t>PROD-3000251106</t>
        </is>
      </c>
      <c r="B30" t="inlineStr">
        <is>
          <t>Kyrios</t>
        </is>
      </c>
      <c r="C30" t="inlineStr">
        <is>
          <t>Aex</t>
        </is>
      </c>
      <c r="D30" s="7" t="n">
        <v>46306.87594447916</v>
      </c>
      <c r="E30" s="7" t="n">
        <v>46310.69166666667</v>
      </c>
      <c r="F30" s="8" t="n">
        <v>0</v>
      </c>
      <c r="G30" s="8" t="n">
        <v>38.85</v>
      </c>
      <c r="H30" s="8" t="n">
        <v>24.1</v>
      </c>
      <c r="I30" s="8" t="n">
        <v>25.65</v>
      </c>
      <c r="J30" s="8">
        <f>SUM(F30:I30)</f>
        <v/>
      </c>
      <c r="K30" t="inlineStr">
        <is>
          <t>En tránsito</t>
        </is>
      </c>
      <c r="L30" t="inlineStr">
        <is>
          <t>Entregado</t>
        </is>
      </c>
    </row>
    <row r="31">
      <c r="A31" t="inlineStr">
        <is>
          <t>PROD-3000246096</t>
        </is>
      </c>
      <c r="B31" t="inlineStr">
        <is>
          <t>Kyrios</t>
        </is>
      </c>
      <c r="C31" t="inlineStr">
        <is>
          <t>Aex</t>
        </is>
      </c>
      <c r="D31" s="7" t="n">
        <v>46294.7855416088</v>
      </c>
      <c r="E31" s="7" t="n">
        <v>46300.43055555555</v>
      </c>
      <c r="F31" s="8" t="n">
        <v>0</v>
      </c>
      <c r="G31" s="8" t="n">
        <v>66.54000000000001</v>
      </c>
      <c r="H31" s="8" t="n">
        <v>4.12</v>
      </c>
      <c r="I31" s="8" t="n">
        <v>16.82</v>
      </c>
      <c r="J31" s="8">
        <f>SUM(F31:I31)</f>
        <v/>
      </c>
      <c r="K31" t="inlineStr">
        <is>
          <t>En tránsito</t>
        </is>
      </c>
      <c r="L31" t="inlineStr">
        <is>
          <t>Entregado</t>
        </is>
      </c>
    </row>
    <row r="32">
      <c r="A32" t="inlineStr">
        <is>
          <t>PROD-3000247812</t>
        </is>
      </c>
      <c r="B32" t="inlineStr">
        <is>
          <t>FACIL HOGAR</t>
        </is>
      </c>
      <c r="C32" t="inlineStr">
        <is>
          <t>Aex</t>
        </is>
      </c>
      <c r="D32" s="7" t="n">
        <v>46298.51824170139</v>
      </c>
      <c r="E32" s="7" t="n">
        <v>46303.63263888889</v>
      </c>
      <c r="F32" s="8" t="n">
        <v>0</v>
      </c>
      <c r="G32" s="8" t="n">
        <v>40.79</v>
      </c>
      <c r="H32" s="8" t="n">
        <v>20.98</v>
      </c>
      <c r="I32" s="8" t="n">
        <v>25.42</v>
      </c>
      <c r="J32" s="8">
        <f>SUM(F32:I32)</f>
        <v/>
      </c>
      <c r="K32" t="inlineStr">
        <is>
          <t>En tránsito</t>
        </is>
      </c>
      <c r="L32" t="inlineStr">
        <is>
          <t>Entregado</t>
        </is>
      </c>
    </row>
    <row r="33">
      <c r="A33" t="inlineStr">
        <is>
          <t>PROD-3000249618</t>
        </is>
      </c>
      <c r="B33" t="inlineStr">
        <is>
          <t>Chacomer</t>
        </is>
      </c>
      <c r="C33" t="inlineStr">
        <is>
          <t>Aex</t>
        </is>
      </c>
      <c r="D33" s="7" t="n">
        <v>46303.94439619213</v>
      </c>
      <c r="E33" s="7" t="n">
        <v>46309.57083333333</v>
      </c>
      <c r="F33" s="8" t="n">
        <v>0</v>
      </c>
      <c r="G33" s="8" t="n">
        <v>57.01</v>
      </c>
      <c r="H33" s="8" t="n">
        <v>12.39</v>
      </c>
      <c r="I33" s="8" t="n">
        <v>17.63</v>
      </c>
      <c r="J33" s="8">
        <f>SUM(F33:I33)</f>
        <v/>
      </c>
      <c r="K33" t="inlineStr">
        <is>
          <t>En tránsito</t>
        </is>
      </c>
      <c r="L33" t="inlineStr">
        <is>
          <t>Entregado</t>
        </is>
      </c>
    </row>
    <row r="34">
      <c r="A34" t="inlineStr">
        <is>
          <t>PROD-3000251125</t>
        </is>
      </c>
      <c r="B34" t="inlineStr">
        <is>
          <t>Mercado Digital</t>
        </is>
      </c>
      <c r="C34" t="inlineStr">
        <is>
          <t>Aex</t>
        </is>
      </c>
      <c r="D34" s="7" t="n">
        <v>46306.90957796296</v>
      </c>
      <c r="E34" s="7" t="n">
        <v>46310.61458333334</v>
      </c>
      <c r="F34" s="8" t="n">
        <v>0</v>
      </c>
      <c r="G34" s="8" t="n">
        <v>59.41</v>
      </c>
      <c r="H34" s="8" t="n">
        <v>1.9</v>
      </c>
      <c r="I34" s="8" t="n">
        <v>25.43</v>
      </c>
      <c r="J34" s="8">
        <f>SUM(F34:I34)</f>
        <v/>
      </c>
      <c r="K34" t="inlineStr">
        <is>
          <t>En tránsito</t>
        </is>
      </c>
      <c r="L34" t="inlineStr">
        <is>
          <t>Entregado</t>
        </is>
      </c>
    </row>
    <row r="35">
      <c r="A35" t="inlineStr">
        <is>
          <t>PROD-3000246119</t>
        </is>
      </c>
      <c r="B35" t="inlineStr">
        <is>
          <t>Kyrios</t>
        </is>
      </c>
      <c r="C35" t="inlineStr">
        <is>
          <t>Aex</t>
        </is>
      </c>
      <c r="D35" s="7" t="n">
        <v>46294.8566756713</v>
      </c>
      <c r="E35" s="7" t="n">
        <v>46300.44791666666</v>
      </c>
      <c r="F35" s="8" t="n">
        <v>0</v>
      </c>
      <c r="G35" s="8" t="n">
        <v>64.84</v>
      </c>
      <c r="H35" s="8" t="n">
        <v>4.13</v>
      </c>
      <c r="I35" s="8" t="n">
        <v>17.22</v>
      </c>
      <c r="J35" s="8">
        <f>SUM(F35:I35)</f>
        <v/>
      </c>
      <c r="K35" t="inlineStr">
        <is>
          <t>En tránsito</t>
        </is>
      </c>
      <c r="L35" t="inlineStr">
        <is>
          <t>Entregado</t>
        </is>
      </c>
    </row>
    <row r="36">
      <c r="A36" t="inlineStr">
        <is>
          <t>PROD-3000247249</t>
        </is>
      </c>
      <c r="B36" t="inlineStr">
        <is>
          <t>Mercado Digital</t>
        </is>
      </c>
      <c r="C36" t="inlineStr">
        <is>
          <t>Aex</t>
        </is>
      </c>
      <c r="D36" s="7" t="n">
        <v>46296.90806625</v>
      </c>
      <c r="E36" s="7" t="n">
        <v>46302.49722222222</v>
      </c>
      <c r="F36" s="8" t="n">
        <v>0</v>
      </c>
      <c r="G36" s="8" t="n">
        <v>60.65</v>
      </c>
      <c r="H36" s="8" t="n">
        <v>7.15</v>
      </c>
      <c r="I36" s="8" t="n">
        <v>18.33</v>
      </c>
      <c r="J36" s="8">
        <f>SUM(F36:I36)</f>
        <v/>
      </c>
      <c r="K36" t="inlineStr">
        <is>
          <t>En tránsito</t>
        </is>
      </c>
      <c r="L36" t="inlineStr">
        <is>
          <t>Entregado</t>
        </is>
      </c>
    </row>
    <row r="37">
      <c r="A37" t="inlineStr">
        <is>
          <t>PROD-3000247738</t>
        </is>
      </c>
      <c r="B37" t="inlineStr">
        <is>
          <t>Chacomer</t>
        </is>
      </c>
      <c r="C37" t="inlineStr">
        <is>
          <t>Aex</t>
        </is>
      </c>
      <c r="D37" s="7" t="n">
        <v>46297.97126681713</v>
      </c>
      <c r="E37" s="7" t="n">
        <v>46303.56041666667</v>
      </c>
      <c r="F37" s="8" t="n">
        <v>0</v>
      </c>
      <c r="G37" s="8" t="n">
        <v>16.6</v>
      </c>
      <c r="H37" s="8" t="n">
        <v>49.07</v>
      </c>
      <c r="I37" s="8" t="n">
        <v>20.47</v>
      </c>
      <c r="J37" s="8">
        <f>SUM(F37:I37)</f>
        <v/>
      </c>
      <c r="K37" t="inlineStr">
        <is>
          <t>En tránsito</t>
        </is>
      </c>
      <c r="L37" t="inlineStr">
        <is>
          <t>Entregado</t>
        </is>
      </c>
    </row>
    <row r="38">
      <c r="A38" t="inlineStr">
        <is>
          <t>PROD-3000250886</t>
        </is>
      </c>
      <c r="B38" t="inlineStr">
        <is>
          <t>COMPUMARKET</t>
        </is>
      </c>
      <c r="C38" t="inlineStr">
        <is>
          <t>Aex</t>
        </is>
      </c>
      <c r="D38" s="7" t="n">
        <v>46306.46209760417</v>
      </c>
      <c r="E38" s="7" t="n">
        <v>46310.58680555555</v>
      </c>
      <c r="F38" s="8" t="n">
        <v>0</v>
      </c>
      <c r="G38" s="8" t="n">
        <v>16.4</v>
      </c>
      <c r="H38" s="8" t="n">
        <v>47.65</v>
      </c>
      <c r="I38" s="8" t="n">
        <v>22.03</v>
      </c>
      <c r="J38" s="8">
        <f>SUM(F38:I38)</f>
        <v/>
      </c>
      <c r="K38" t="inlineStr">
        <is>
          <t>En tránsito</t>
        </is>
      </c>
      <c r="L38" t="inlineStr">
        <is>
          <t>Entregado</t>
        </is>
      </c>
    </row>
    <row r="39">
      <c r="A39" t="inlineStr">
        <is>
          <t>PROD-3000251144</t>
        </is>
      </c>
      <c r="B39" t="inlineStr">
        <is>
          <t>FACIL HOGAR</t>
        </is>
      </c>
      <c r="C39" t="inlineStr">
        <is>
          <t>Aex</t>
        </is>
      </c>
      <c r="D39" s="7" t="n">
        <v>46306.95087081019</v>
      </c>
      <c r="E39" s="7" t="n">
        <v>46310.56458333333</v>
      </c>
      <c r="F39" s="8" t="n">
        <v>0</v>
      </c>
      <c r="G39" s="8" t="n">
        <v>8.1</v>
      </c>
      <c r="H39" s="8" t="n">
        <v>7.44</v>
      </c>
      <c r="I39" s="8" t="n">
        <v>70.02</v>
      </c>
      <c r="J39" s="8">
        <f>SUM(F39:I39)</f>
        <v/>
      </c>
      <c r="K39" t="inlineStr">
        <is>
          <t>En tránsito</t>
        </is>
      </c>
      <c r="L39" t="inlineStr">
        <is>
          <t>Entregado</t>
        </is>
      </c>
    </row>
    <row r="40">
      <c r="A40" t="inlineStr">
        <is>
          <t>PROD-3000248005</t>
        </is>
      </c>
      <c r="B40" t="inlineStr">
        <is>
          <t>Sport center</t>
        </is>
      </c>
      <c r="C40" t="inlineStr">
        <is>
          <t>Aex</t>
        </is>
      </c>
      <c r="D40" s="7" t="n">
        <v>46299.48627401621</v>
      </c>
      <c r="E40" s="7" t="n">
        <v>46303.55069444444</v>
      </c>
      <c r="F40" s="8" t="n">
        <v>0</v>
      </c>
      <c r="G40" s="8" t="n">
        <v>14.73</v>
      </c>
      <c r="H40" s="8" t="n">
        <v>21.44</v>
      </c>
      <c r="I40" s="8" t="n">
        <v>49.05</v>
      </c>
      <c r="J40" s="8">
        <f>SUM(F40:I40)</f>
        <v/>
      </c>
      <c r="K40" t="inlineStr">
        <is>
          <t>En tránsito</t>
        </is>
      </c>
      <c r="L40" t="inlineStr">
        <is>
          <t>Entregado</t>
        </is>
      </c>
    </row>
    <row r="41">
      <c r="A41" t="inlineStr">
        <is>
          <t>PROD-3000246441</t>
        </is>
      </c>
      <c r="B41" t="inlineStr">
        <is>
          <t>FACIL HOGAR</t>
        </is>
      </c>
      <c r="C41" t="inlineStr">
        <is>
          <t>Aex</t>
        </is>
      </c>
      <c r="D41" s="7" t="n">
        <v>46296.29430162037</v>
      </c>
      <c r="E41" s="7" t="n">
        <v>46301.75069444445</v>
      </c>
      <c r="F41" s="8" t="n">
        <v>0</v>
      </c>
      <c r="G41" s="8" t="n">
        <v>0.63</v>
      </c>
      <c r="H41" s="8" t="n">
        <v>30.82</v>
      </c>
      <c r="I41" s="8" t="n">
        <v>51.5</v>
      </c>
      <c r="J41" s="8">
        <f>SUM(F41:I41)</f>
        <v/>
      </c>
      <c r="K41" t="inlineStr">
        <is>
          <t>En tránsito</t>
        </is>
      </c>
      <c r="L41" t="inlineStr">
        <is>
          <t>Entregado</t>
        </is>
      </c>
    </row>
    <row r="42">
      <c r="A42" t="inlineStr">
        <is>
          <t>PROD-3000248251</t>
        </is>
      </c>
      <c r="B42" t="inlineStr">
        <is>
          <t>La Electrotienda</t>
        </is>
      </c>
      <c r="C42" t="inlineStr">
        <is>
          <t>Aex</t>
        </is>
      </c>
      <c r="D42" s="7" t="n">
        <v>46300.80398621528</v>
      </c>
      <c r="E42" s="7" t="n">
        <v>46304.23402777778</v>
      </c>
      <c r="F42" s="8" t="n">
        <v>0</v>
      </c>
      <c r="G42" s="8" t="n">
        <v>14.3</v>
      </c>
      <c r="H42" s="8" t="n">
        <v>11.32</v>
      </c>
      <c r="I42" s="8" t="n">
        <v>56.7</v>
      </c>
      <c r="J42" s="8">
        <f>SUM(F42:I42)</f>
        <v/>
      </c>
      <c r="K42" t="inlineStr">
        <is>
          <t>En tránsito</t>
        </is>
      </c>
      <c r="L42" t="inlineStr">
        <is>
          <t>Entregado</t>
        </is>
      </c>
    </row>
    <row r="43">
      <c r="A43" t="inlineStr">
        <is>
          <t>PROD-3000245974</t>
        </is>
      </c>
      <c r="B43" t="inlineStr">
        <is>
          <t>La Electrotienda</t>
        </is>
      </c>
      <c r="C43" t="inlineStr">
        <is>
          <t>Aex</t>
        </is>
      </c>
      <c r="D43" s="7" t="n">
        <v>46294.35338266204</v>
      </c>
      <c r="E43" s="7" t="n">
        <v>46297.78333333333</v>
      </c>
      <c r="F43" s="8" t="n">
        <v>0</v>
      </c>
      <c r="G43" s="8" t="n">
        <v>5.82</v>
      </c>
      <c r="H43" s="8" t="n">
        <v>42.79</v>
      </c>
      <c r="I43" s="8" t="n">
        <v>33.7</v>
      </c>
      <c r="J43" s="8">
        <f>SUM(F43:I43)</f>
        <v/>
      </c>
      <c r="K43" t="inlineStr">
        <is>
          <t>En tránsito</t>
        </is>
      </c>
      <c r="L43" t="inlineStr">
        <is>
          <t>Entregado</t>
        </is>
      </c>
    </row>
    <row r="44">
      <c r="A44" t="inlineStr">
        <is>
          <t>PROD-3000251310</t>
        </is>
      </c>
      <c r="B44" t="inlineStr">
        <is>
          <t>Kyrios</t>
        </is>
      </c>
      <c r="C44" t="inlineStr">
        <is>
          <t>Aex</t>
        </is>
      </c>
      <c r="D44" s="7" t="n">
        <v>46307.64728696759</v>
      </c>
      <c r="E44" s="7" t="n">
        <v>46310.96180555555</v>
      </c>
      <c r="F44" s="8" t="n">
        <v>0</v>
      </c>
      <c r="G44" s="8" t="n">
        <v>23.32</v>
      </c>
      <c r="H44" s="8" t="n">
        <v>24.11</v>
      </c>
      <c r="I44" s="8" t="n">
        <v>32.12</v>
      </c>
      <c r="J44" s="8">
        <f>SUM(F44:I44)</f>
        <v/>
      </c>
      <c r="K44" t="inlineStr">
        <is>
          <t>En tránsito</t>
        </is>
      </c>
      <c r="L44" t="inlineStr">
        <is>
          <t>Entregado</t>
        </is>
      </c>
    </row>
    <row r="45">
      <c r="A45" t="inlineStr">
        <is>
          <t>PROD-3000251236</t>
        </is>
      </c>
      <c r="B45" t="inlineStr">
        <is>
          <t>Kyrios</t>
        </is>
      </c>
      <c r="C45" t="inlineStr">
        <is>
          <t>Aex</t>
        </is>
      </c>
      <c r="D45" s="7" t="n">
        <v>46307.37626424769</v>
      </c>
      <c r="E45" s="7" t="n">
        <v>46310.68888888889</v>
      </c>
      <c r="F45" s="8" t="n">
        <v>0</v>
      </c>
      <c r="G45" s="8" t="n">
        <v>29.83</v>
      </c>
      <c r="H45" s="8" t="n">
        <v>24.09</v>
      </c>
      <c r="I45" s="8" t="n">
        <v>25.58</v>
      </c>
      <c r="J45" s="8">
        <f>SUM(F45:I45)</f>
        <v/>
      </c>
      <c r="K45" t="inlineStr">
        <is>
          <t>En tránsito</t>
        </is>
      </c>
      <c r="L45" t="inlineStr">
        <is>
          <t>Entregado</t>
        </is>
      </c>
    </row>
    <row r="46">
      <c r="A46" t="inlineStr">
        <is>
          <t>PROD-3000248337</t>
        </is>
      </c>
      <c r="B46" t="inlineStr">
        <is>
          <t>Fitway</t>
        </is>
      </c>
      <c r="C46" t="inlineStr">
        <is>
          <t>Aex</t>
        </is>
      </c>
      <c r="D46" s="7" t="n">
        <v>46301.42722226852</v>
      </c>
      <c r="E46" s="7" t="n">
        <v>46304.72916666666</v>
      </c>
      <c r="F46" s="8" t="n">
        <v>0</v>
      </c>
      <c r="G46" s="8" t="n">
        <v>25.52</v>
      </c>
      <c r="H46" s="8" t="n">
        <v>3.31</v>
      </c>
      <c r="I46" s="8" t="n">
        <v>50.42</v>
      </c>
      <c r="J46" s="8">
        <f>SUM(F46:I46)</f>
        <v/>
      </c>
      <c r="K46" t="inlineStr">
        <is>
          <t>En tránsito</t>
        </is>
      </c>
      <c r="L46" t="inlineStr">
        <is>
          <t>Entregado</t>
        </is>
      </c>
    </row>
    <row r="47">
      <c r="A47" t="inlineStr">
        <is>
          <t>PROD-3000251309</t>
        </is>
      </c>
      <c r="B47" t="inlineStr">
        <is>
          <t>Vortex Shop</t>
        </is>
      </c>
      <c r="C47" t="inlineStr">
        <is>
          <t>Aex</t>
        </is>
      </c>
      <c r="D47" s="7" t="n">
        <v>46307.64743052083</v>
      </c>
      <c r="E47" s="7" t="n">
        <v>46310.94236111111</v>
      </c>
      <c r="F47" s="8" t="n">
        <v>0</v>
      </c>
      <c r="G47" s="8" t="n">
        <v>46.62</v>
      </c>
      <c r="H47" s="8" t="n">
        <v>2.08</v>
      </c>
      <c r="I47" s="8" t="n">
        <v>30.38</v>
      </c>
      <c r="J47" s="8">
        <f>SUM(F47:I47)</f>
        <v/>
      </c>
      <c r="K47" t="inlineStr">
        <is>
          <t>En tránsito</t>
        </is>
      </c>
      <c r="L47" t="inlineStr">
        <is>
          <t>Entregado</t>
        </is>
      </c>
    </row>
    <row r="48">
      <c r="A48" t="inlineStr">
        <is>
          <t>PROD-3000251241</t>
        </is>
      </c>
      <c r="B48" t="inlineStr">
        <is>
          <t>Visuar</t>
        </is>
      </c>
      <c r="C48" t="inlineStr">
        <is>
          <t>Aex</t>
        </is>
      </c>
      <c r="D48" s="7" t="n">
        <v>46307.43173104167</v>
      </c>
      <c r="E48" s="7" t="n">
        <v>46310.67847222222</v>
      </c>
      <c r="F48" s="8" t="n">
        <v>0</v>
      </c>
      <c r="G48" s="8" t="n">
        <v>28.81</v>
      </c>
      <c r="H48" s="8" t="n">
        <v>23.68</v>
      </c>
      <c r="I48" s="8" t="n">
        <v>25.43</v>
      </c>
      <c r="J48" s="8">
        <f>SUM(F48:I48)</f>
        <v/>
      </c>
      <c r="K48" t="inlineStr">
        <is>
          <t>En tránsito</t>
        </is>
      </c>
      <c r="L48" t="inlineStr">
        <is>
          <t>Entregado</t>
        </is>
      </c>
    </row>
    <row r="49">
      <c r="A49" t="inlineStr">
        <is>
          <t>PROD-3000251559</t>
        </is>
      </c>
      <c r="B49" t="inlineStr">
        <is>
          <t>SyroCco</t>
        </is>
      </c>
      <c r="C49" t="inlineStr">
        <is>
          <t>Aex</t>
        </is>
      </c>
      <c r="D49" s="7" t="n">
        <v>46308.7565456713</v>
      </c>
      <c r="E49" s="7" t="n">
        <v>46312.52847222222</v>
      </c>
      <c r="F49" s="8" t="n">
        <v>0</v>
      </c>
      <c r="G49" s="8" t="n">
        <v>14.01</v>
      </c>
      <c r="H49" s="8" t="n">
        <v>7.07</v>
      </c>
      <c r="I49" s="8" t="n">
        <v>56.77</v>
      </c>
      <c r="J49" s="8">
        <f>SUM(F49:I49)</f>
        <v/>
      </c>
      <c r="K49" t="inlineStr">
        <is>
          <t>En tránsito</t>
        </is>
      </c>
      <c r="L49" t="inlineStr">
        <is>
          <t>Entregado</t>
        </is>
      </c>
    </row>
    <row r="50">
      <c r="A50" t="inlineStr">
        <is>
          <t>PROD-3000251251</t>
        </is>
      </c>
      <c r="B50" t="inlineStr">
        <is>
          <t>MACRO</t>
        </is>
      </c>
      <c r="C50" t="inlineStr">
        <is>
          <t>Aex</t>
        </is>
      </c>
      <c r="D50" s="7" t="n">
        <v>46307.45572849537</v>
      </c>
      <c r="E50" s="7" t="n">
        <v>46310.69861111111</v>
      </c>
      <c r="F50" s="8" t="n">
        <v>0</v>
      </c>
      <c r="G50" s="8" t="n">
        <v>4.4</v>
      </c>
      <c r="H50" s="8" t="n">
        <v>23.93</v>
      </c>
      <c r="I50" s="8" t="n">
        <v>49.5</v>
      </c>
      <c r="J50" s="8">
        <f>SUM(F50:I50)</f>
        <v/>
      </c>
      <c r="K50" t="inlineStr">
        <is>
          <t>En tránsito</t>
        </is>
      </c>
      <c r="L50" t="inlineStr">
        <is>
          <t>Entregado</t>
        </is>
      </c>
    </row>
    <row r="51">
      <c r="A51" t="inlineStr">
        <is>
          <t>PROD-3000251508</t>
        </is>
      </c>
      <c r="B51" t="inlineStr">
        <is>
          <t>La Electrotienda</t>
        </is>
      </c>
      <c r="C51" t="inlineStr">
        <is>
          <t>Aex</t>
        </is>
      </c>
      <c r="D51" s="7" t="n">
        <v>46308.60856119213</v>
      </c>
      <c r="E51" s="7" t="n">
        <v>46311.82916666667</v>
      </c>
      <c r="F51" s="8" t="n">
        <v>0</v>
      </c>
      <c r="G51" s="8" t="n">
        <v>0.24</v>
      </c>
      <c r="H51" s="8" t="n">
        <v>23.12</v>
      </c>
      <c r="I51" s="8" t="n">
        <v>53.93</v>
      </c>
      <c r="J51" s="8">
        <f>SUM(F51:I51)</f>
        <v/>
      </c>
      <c r="K51" t="inlineStr">
        <is>
          <t>En tránsito</t>
        </is>
      </c>
      <c r="L51" t="inlineStr">
        <is>
          <t>Entregado</t>
        </is>
      </c>
    </row>
    <row r="52">
      <c r="A52" t="inlineStr">
        <is>
          <t>PROD-3000246258</t>
        </is>
      </c>
      <c r="B52" t="inlineStr">
        <is>
          <t>FACIL HOGAR</t>
        </is>
      </c>
      <c r="C52" t="inlineStr">
        <is>
          <t>Aex</t>
        </is>
      </c>
      <c r="D52" s="7" t="n">
        <v>46295.6044044213</v>
      </c>
      <c r="E52" s="7" t="n">
        <v>46300.7875</v>
      </c>
      <c r="F52" s="8" t="n">
        <v>0</v>
      </c>
      <c r="G52" s="8" t="n">
        <v>0.29</v>
      </c>
      <c r="H52" s="8" t="n">
        <v>47.74</v>
      </c>
      <c r="I52" s="8" t="n">
        <v>28.37</v>
      </c>
      <c r="J52" s="8">
        <f>SUM(F52:I52)</f>
        <v/>
      </c>
      <c r="K52" t="inlineStr">
        <is>
          <t>En tránsito</t>
        </is>
      </c>
      <c r="L52" t="inlineStr">
        <is>
          <t>Entregado</t>
        </is>
      </c>
    </row>
    <row r="53">
      <c r="A53" t="inlineStr">
        <is>
          <t>PROD-3000247585</t>
        </is>
      </c>
      <c r="B53" t="inlineStr">
        <is>
          <t>COMPUMARKET</t>
        </is>
      </c>
      <c r="C53" t="inlineStr">
        <is>
          <t>Aex</t>
        </is>
      </c>
      <c r="D53" s="7" t="n">
        <v>46297.64734165509</v>
      </c>
      <c r="E53" s="7" t="n">
        <v>46302.82152777778</v>
      </c>
      <c r="F53" s="8" t="n">
        <v>0</v>
      </c>
      <c r="G53" s="8" t="n">
        <v>42.97</v>
      </c>
      <c r="H53" s="8" t="n">
        <v>6.99</v>
      </c>
      <c r="I53" s="8" t="n">
        <v>26.22</v>
      </c>
      <c r="J53" s="8">
        <f>SUM(F53:I53)</f>
        <v/>
      </c>
      <c r="K53" t="inlineStr">
        <is>
          <t>En tránsito</t>
        </is>
      </c>
      <c r="L53" t="inlineStr">
        <is>
          <t>Entregado</t>
        </is>
      </c>
    </row>
    <row r="54">
      <c r="A54" t="inlineStr">
        <is>
          <t>PROD-3000249926</t>
        </is>
      </c>
      <c r="B54" t="inlineStr">
        <is>
          <t>TiendaMovil</t>
        </is>
      </c>
      <c r="C54" t="inlineStr">
        <is>
          <t>Aex</t>
        </is>
      </c>
      <c r="D54" s="7" t="n">
        <v>46304.53235170139</v>
      </c>
      <c r="E54" s="7" t="n">
        <v>46309.70555555556</v>
      </c>
      <c r="F54" s="8" t="n">
        <v>0</v>
      </c>
      <c r="G54" s="8" t="n">
        <v>22.15</v>
      </c>
      <c r="H54" s="8" t="n">
        <v>3.92</v>
      </c>
      <c r="I54" s="8" t="n">
        <v>50.08</v>
      </c>
      <c r="J54" s="8">
        <f>SUM(F54:I54)</f>
        <v/>
      </c>
      <c r="K54" t="inlineStr">
        <is>
          <t>En tránsito</t>
        </is>
      </c>
      <c r="L54" t="inlineStr">
        <is>
          <t>Entregado</t>
        </is>
      </c>
    </row>
    <row r="55">
      <c r="A55" t="inlineStr">
        <is>
          <t>PROD-3000251416</t>
        </is>
      </c>
      <c r="B55" t="inlineStr">
        <is>
          <t>COMPUMARKET</t>
        </is>
      </c>
      <c r="C55" t="inlineStr">
        <is>
          <t>Aex</t>
        </is>
      </c>
      <c r="D55" s="7" t="n">
        <v>46308.30371586805</v>
      </c>
      <c r="E55" s="7" t="n">
        <v>46311.43263888889</v>
      </c>
      <c r="F55" s="8" t="n">
        <v>0</v>
      </c>
      <c r="G55" s="8" t="n">
        <v>27.02</v>
      </c>
      <c r="H55" s="8" t="n">
        <v>5.71</v>
      </c>
      <c r="I55" s="8" t="n">
        <v>42.37</v>
      </c>
      <c r="J55" s="8">
        <f>SUM(F55:I55)</f>
        <v/>
      </c>
      <c r="K55" t="inlineStr">
        <is>
          <t>En tránsito</t>
        </is>
      </c>
      <c r="L55" t="inlineStr">
        <is>
          <t>Entregado</t>
        </is>
      </c>
    </row>
    <row r="56">
      <c r="A56" t="inlineStr">
        <is>
          <t>PROD-3000251323</t>
        </is>
      </c>
      <c r="B56" t="inlineStr">
        <is>
          <t>SyroCco</t>
        </is>
      </c>
      <c r="C56" t="inlineStr">
        <is>
          <t>Aex</t>
        </is>
      </c>
      <c r="D56" s="7" t="n">
        <v>46307.71809760416</v>
      </c>
      <c r="E56" s="7" t="n">
        <v>46310.83194444444</v>
      </c>
      <c r="F56" s="8" t="n">
        <v>0</v>
      </c>
      <c r="G56" s="8" t="n">
        <v>15.17</v>
      </c>
      <c r="H56" s="8" t="n">
        <v>3.93</v>
      </c>
      <c r="I56" s="8" t="n">
        <v>55.63</v>
      </c>
      <c r="J56" s="8">
        <f>SUM(F56:I56)</f>
        <v/>
      </c>
      <c r="K56" t="inlineStr">
        <is>
          <t>En tránsito</t>
        </is>
      </c>
      <c r="L56" t="inlineStr">
        <is>
          <t>Entregado</t>
        </is>
      </c>
    </row>
    <row r="57">
      <c r="A57" t="inlineStr">
        <is>
          <t>PROD-3000249080</t>
        </is>
      </c>
      <c r="B57" t="inlineStr">
        <is>
          <t>ATLANTIC SAE</t>
        </is>
      </c>
      <c r="C57" t="inlineStr">
        <is>
          <t>Aex</t>
        </is>
      </c>
      <c r="D57" s="7" t="n">
        <v>46303.56957350695</v>
      </c>
      <c r="E57" s="7" t="n">
        <v>46308.65416666667</v>
      </c>
      <c r="F57" s="8" t="n">
        <v>0</v>
      </c>
      <c r="G57" s="8" t="n">
        <v>2.57</v>
      </c>
      <c r="H57" s="8" t="n">
        <v>21.94</v>
      </c>
      <c r="I57" s="8" t="n">
        <v>49.52</v>
      </c>
      <c r="J57" s="8">
        <f>SUM(F57:I57)</f>
        <v/>
      </c>
      <c r="K57" t="inlineStr">
        <is>
          <t>En tránsito</t>
        </is>
      </c>
      <c r="L57" t="inlineStr">
        <is>
          <t>Entregado</t>
        </is>
      </c>
    </row>
    <row r="58">
      <c r="A58" t="inlineStr">
        <is>
          <t>PROD-3000246234</t>
        </is>
      </c>
      <c r="B58" t="inlineStr">
        <is>
          <t>ATLANTIC SAE</t>
        </is>
      </c>
      <c r="C58" t="inlineStr">
        <is>
          <t>Aex</t>
        </is>
      </c>
      <c r="D58" s="7" t="n">
        <v>46295.54815458333</v>
      </c>
      <c r="E58" s="7" t="n">
        <v>46300.61527777778</v>
      </c>
      <c r="F58" s="8" t="n">
        <v>0</v>
      </c>
      <c r="G58" s="8" t="n">
        <v>20.82</v>
      </c>
      <c r="H58" s="8" t="n">
        <v>22.39</v>
      </c>
      <c r="I58" s="8" t="n">
        <v>30.4</v>
      </c>
      <c r="J58" s="8">
        <f>SUM(F58:I58)</f>
        <v/>
      </c>
      <c r="K58" t="inlineStr">
        <is>
          <t>En tránsito</t>
        </is>
      </c>
      <c r="L58" t="inlineStr">
        <is>
          <t>Entregado</t>
        </is>
      </c>
    </row>
    <row r="59">
      <c r="A59" t="inlineStr">
        <is>
          <t>PROD-3000248634</t>
        </is>
      </c>
      <c r="B59" t="inlineStr">
        <is>
          <t>La Electrotienda</t>
        </is>
      </c>
      <c r="C59" t="inlineStr">
        <is>
          <t>Aex</t>
        </is>
      </c>
      <c r="D59" s="7" t="n">
        <v>46302.63559179398</v>
      </c>
      <c r="E59" s="7" t="n">
        <v>46307.69027777778</v>
      </c>
      <c r="F59" s="8" t="n">
        <v>0</v>
      </c>
      <c r="G59" s="8" t="n">
        <v>56.75</v>
      </c>
      <c r="H59" s="8" t="n">
        <v>0</v>
      </c>
      <c r="I59" s="8" t="n">
        <v>16.57</v>
      </c>
      <c r="J59" s="8">
        <f>SUM(F59:I59)</f>
        <v/>
      </c>
      <c r="K59" t="inlineStr">
        <is>
          <t>En tránsito</t>
        </is>
      </c>
      <c r="L59" t="inlineStr">
        <is>
          <t>Entregado</t>
        </is>
      </c>
    </row>
    <row r="60">
      <c r="A60" t="inlineStr">
        <is>
          <t>PROD-3000246402</t>
        </is>
      </c>
      <c r="B60" t="inlineStr">
        <is>
          <t>FACIL HOGAR</t>
        </is>
      </c>
      <c r="C60" t="inlineStr">
        <is>
          <t>Aex</t>
        </is>
      </c>
      <c r="D60" s="7" t="n">
        <v>46295.98084881945</v>
      </c>
      <c r="E60" s="7" t="n">
        <v>46301.01875</v>
      </c>
      <c r="F60" s="8" t="n">
        <v>0</v>
      </c>
      <c r="G60" s="8" t="n">
        <v>8.17</v>
      </c>
      <c r="H60" s="8" t="n">
        <v>30.82</v>
      </c>
      <c r="I60" s="8" t="n">
        <v>33.92</v>
      </c>
      <c r="J60" s="8">
        <f>SUM(F60:I60)</f>
        <v/>
      </c>
      <c r="K60" t="inlineStr">
        <is>
          <t>En tránsito</t>
        </is>
      </c>
      <c r="L60" t="inlineStr">
        <is>
          <t>Entregado</t>
        </is>
      </c>
    </row>
    <row r="61">
      <c r="A61" t="inlineStr">
        <is>
          <t>PROD-3000246510</t>
        </is>
      </c>
      <c r="B61" t="inlineStr">
        <is>
          <t>Ciclovia</t>
        </is>
      </c>
      <c r="C61" t="inlineStr">
        <is>
          <t>Aex</t>
        </is>
      </c>
      <c r="D61" s="7" t="n">
        <v>46296.5404978588</v>
      </c>
      <c r="E61" s="7" t="n">
        <v>46301.56319444445</v>
      </c>
      <c r="F61" s="8" t="n">
        <v>0</v>
      </c>
      <c r="G61" s="8" t="n">
        <v>50.84</v>
      </c>
      <c r="H61" s="8" t="n">
        <v>0.82</v>
      </c>
      <c r="I61" s="8" t="n">
        <v>20.88</v>
      </c>
      <c r="J61" s="8">
        <f>SUM(F61:I61)</f>
        <v/>
      </c>
      <c r="K61" t="inlineStr">
        <is>
          <t>En tránsito</t>
        </is>
      </c>
      <c r="L61" t="inlineStr">
        <is>
          <t>Entregado</t>
        </is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2026-10-20T19:13:23Z</dcterms:created>
  <dcterms:modified xmlns:dcterms="http://purl.org/dc/terms/" xmlns:xsi="http://www.w3.org/2001/XMLSchema-instance" xsi:type="dcterms:W3CDTF">2026-10-20T19:13:23Z</dcterms:modified>
</cp:coreProperties>
</file>